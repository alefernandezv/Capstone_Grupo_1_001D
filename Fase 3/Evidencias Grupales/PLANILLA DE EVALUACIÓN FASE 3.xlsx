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1D\"/>
    </mc:Choice>
  </mc:AlternateContent>
  <xr:revisionPtr revIDLastSave="0" documentId="13_ncr:1_{1C36DC63-9320-4292-8014-C1A2B15520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57" i="1"/>
  <c r="B56" i="1"/>
  <c r="B55" i="1"/>
  <c r="B54" i="1"/>
  <c r="B53" i="1"/>
  <c r="B52" i="1"/>
  <c r="B51" i="1"/>
  <c r="D7" i="1"/>
  <c r="E7" i="1" s="1"/>
  <c r="C7" i="1"/>
  <c r="B109" i="1"/>
  <c r="B108" i="1"/>
  <c r="B107" i="1"/>
  <c r="B106" i="1"/>
  <c r="B105" i="1"/>
  <c r="B104" i="1"/>
  <c r="B97" i="1"/>
  <c r="B96" i="1"/>
  <c r="B95" i="1"/>
  <c r="B94" i="1"/>
  <c r="B93" i="1"/>
  <c r="B92" i="1"/>
  <c r="B91" i="1"/>
  <c r="B103" i="1"/>
  <c r="B49" i="1"/>
  <c r="B37" i="1"/>
  <c r="J109" i="1"/>
  <c r="K109" i="1" s="1"/>
  <c r="H109" i="1"/>
  <c r="I109" i="1" s="1"/>
  <c r="F109" i="1"/>
  <c r="G109" i="1" s="1"/>
  <c r="E109" i="1"/>
  <c r="J108" i="1"/>
  <c r="K108" i="1" s="1"/>
  <c r="H108" i="1"/>
  <c r="I108" i="1" s="1"/>
  <c r="G108" i="1"/>
  <c r="E108" i="1"/>
  <c r="J107" i="1"/>
  <c r="K107" i="1" s="1"/>
  <c r="H107" i="1"/>
  <c r="I107" i="1" s="1"/>
  <c r="G107" i="1"/>
  <c r="F107" i="1"/>
  <c r="D107" i="1"/>
  <c r="E107" i="1" s="1"/>
  <c r="J106" i="1"/>
  <c r="K106" i="1" s="1"/>
  <c r="I106" i="1"/>
  <c r="H106" i="1"/>
  <c r="G106" i="1"/>
  <c r="F106" i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G104" i="1"/>
  <c r="F104" i="1"/>
  <c r="D104" i="1"/>
  <c r="E104" i="1" s="1"/>
  <c r="J103" i="1"/>
  <c r="K103" i="1" s="1"/>
  <c r="H103" i="1"/>
  <c r="I103" i="1" s="1"/>
  <c r="G103" i="1"/>
  <c r="F103" i="1"/>
  <c r="D103" i="1"/>
  <c r="E103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F56" i="1"/>
  <c r="D56" i="1"/>
  <c r="E56" i="1" s="1"/>
  <c r="J55" i="1"/>
  <c r="K55" i="1" s="1"/>
  <c r="H55" i="1"/>
  <c r="I55" i="1" s="1"/>
  <c r="G55" i="1"/>
  <c r="F55" i="1"/>
  <c r="D55" i="1"/>
  <c r="E55" i="1" s="1"/>
  <c r="J54" i="1"/>
  <c r="K54" i="1" s="1"/>
  <c r="I54" i="1"/>
  <c r="H54" i="1"/>
  <c r="G54" i="1"/>
  <c r="F54" i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G52" i="1"/>
  <c r="F52" i="1"/>
  <c r="D52" i="1"/>
  <c r="E52" i="1" s="1"/>
  <c r="J51" i="1"/>
  <c r="K51" i="1" s="1"/>
  <c r="K58" i="1" s="1"/>
  <c r="H51" i="1"/>
  <c r="I51" i="1" s="1"/>
  <c r="F51" i="1"/>
  <c r="G51" i="1" s="1"/>
  <c r="D51" i="1"/>
  <c r="E51" i="1" s="1"/>
  <c r="E58" i="1" s="1"/>
  <c r="K110" i="1" l="1"/>
  <c r="G110" i="1"/>
  <c r="E110" i="1"/>
  <c r="I110" i="1"/>
  <c r="I58" i="1"/>
  <c r="G58" i="1"/>
  <c r="C58" i="1" s="1"/>
  <c r="C59" i="1" s="1"/>
  <c r="C110" i="1" l="1"/>
  <c r="C111" i="1" s="1"/>
  <c r="B89" i="1" l="1"/>
  <c r="B76" i="1"/>
  <c r="B63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6" i="1" s="1"/>
  <c r="C85" i="1"/>
  <c r="C86" i="1" s="1"/>
  <c r="D5" i="1" s="1"/>
  <c r="C72" i="1"/>
  <c r="C73" i="1" s="1"/>
  <c r="D4" i="1" s="1"/>
  <c r="C98" i="1"/>
  <c r="C99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<sst xmlns="http://schemas.openxmlformats.org/spreadsheetml/2006/main" count="201" uniqueCount="69">
  <si>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</si>
  <si>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</si>
  <si>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</si>
  <si>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</si>
  <si>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</si>
  <si>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</si>
  <si>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</si>
  <si>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</si>
  <si>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</si>
  <si>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</si>
  <si>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</si>
  <si>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</si>
  <si>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</si>
  <si>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</si>
  <si>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</si>
  <si>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</si>
  <si>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</si>
  <si>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</si>
  <si>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</si>
  <si>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</si>
  <si>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</si>
  <si>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</si>
  <si>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</si>
  <si>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</si>
  <si>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</si>
  <si>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</si>
  <si>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</si>
  <si>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</si>
  <si>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</si>
  <si>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</si>
  <si>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</si>
  <si>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</si>
  <si>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</si>
  <si>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</si>
  <si>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</si>
  <si>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</si>
  <si>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</si>
  <si>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</si>
  <si>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</si>
  <si>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</si>
  <si>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</si>
  <si>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</si>
  <si>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</si>
  <si>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</si>
  <si>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</si>
  <si>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</si>
  <si>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</si>
  <si>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</si>
  <si>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</si>
  <si>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</si>
  <si>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</si>
  <si>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</si>
  <si>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</si>
  <si>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</si>
  <si>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</si>
  <si>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</si>
  <si>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</si>
  <si>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</si>
  <si>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</si>
  <si>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</si>
  <si>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</si>
  <si>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</si>
  <si>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</si>
  <si>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</si>
  <si>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ALEJANDRO ANTONIO FERNANDEZ VICENCIO</t>
  </si>
  <si>
    <t>SIMON TOMAS RUZ AVILA</t>
  </si>
  <si>
    <t>TOMAS HERNAN MELLA MOLINA</t>
  </si>
  <si>
    <t>TOMAS ESTEBAN TORRES LEON</t>
  </si>
  <si>
    <t>COMISION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</si>
</sst>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zoomScale="85" zoomScaleNormal="85" workbookViewId="0">
      <selection activeCell="C21" sqref="C21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7</v>
      </c>
      <c r="D4" s="37">
        <f>C73</f>
        <v>7</v>
      </c>
      <c r="E4" s="36">
        <f>C4*C$2+D4*D$2</f>
        <v>7</v>
      </c>
    </row>
    <row r="5" spans="1:11" ht="14.4" x14ac:dyDescent="0.3">
      <c r="A5" s="3">
        <v>2</v>
      </c>
      <c r="B5" s="16" t="s">
        <v>65</v>
      </c>
      <c r="C5" s="31">
        <f>C34</f>
        <v>7</v>
      </c>
      <c r="D5" s="37">
        <f>C86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66</v>
      </c>
      <c r="C6" s="31">
        <f>C47</f>
        <v>7</v>
      </c>
      <c r="D6" s="37">
        <f>C99</f>
        <v>7</v>
      </c>
      <c r="E6" s="36">
        <f t="shared" si="0"/>
        <v>7</v>
      </c>
    </row>
    <row r="7" spans="1:11" ht="14.4" x14ac:dyDescent="0.3">
      <c r="A7" s="3">
        <v>4</v>
      </c>
      <c r="B7" s="16" t="s">
        <v>67</v>
      </c>
      <c r="C7" s="31">
        <f>C59</f>
        <v>7</v>
      </c>
      <c r="D7" s="37">
        <f>C111</f>
        <v>7</v>
      </c>
      <c r="E7" s="36">
        <f t="shared" ref="E7" si="1">C7*C$2+D7*D$2</f>
        <v>7</v>
      </c>
    </row>
    <row r="11" spans="1:11" ht="18" outlineLevel="1" x14ac:dyDescent="0.3">
      <c r="A11" s="51" t="s">
        <v>4</v>
      </c>
      <c r="B11" s="11" t="str">
        <f>B4</f>
        <v>ALEJANDRO ANTONIO FERNANDEZ VICENCIO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SIMON TOMAS RUZ AVILA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TOMAS HERNAN MELLA MOLINA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>
      <c r="A49" s="51" t="s">
        <v>4</v>
      </c>
      <c r="B49" s="11" t="str">
        <f>B7</f>
        <v>TOMAS ESTEBAN TORRES LEON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8">IF($C51=CL,"X","")</f>
        <v>X</v>
      </c>
      <c r="E51" s="12">
        <f>IF(D51="X",100*0.15,"")</f>
        <v>15</v>
      </c>
      <c r="F51" s="12" t="str">
        <f t="shared" ref="F51:F55" si="19">IF($C51=L,"X","")</f>
        <v/>
      </c>
      <c r="G51" s="12" t="str">
        <f>IF(F51="X",60*0.15,"")</f>
        <v/>
      </c>
      <c r="H51" s="12" t="str">
        <f t="shared" ref="H51:H55" si="20">IF($C51=ML,"X","")</f>
        <v/>
      </c>
      <c r="I51" s="12" t="str">
        <f>IF(H51="X",30*0.15,"")</f>
        <v/>
      </c>
      <c r="J51" s="12" t="str">
        <f t="shared" ref="J51:J55" si="21">IF($C51=NL,"X","")</f>
        <v/>
      </c>
      <c r="K51" s="12" t="str">
        <f t="shared" ref="K51:K57" si="22">IF($J51="X",0,"")</f>
        <v/>
      </c>
    </row>
    <row r="52" spans="1:11" ht="36.6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8"/>
        <v>X</v>
      </c>
      <c r="E52" s="12">
        <f>IF(D52="X",100*0.25,"")</f>
        <v>25</v>
      </c>
      <c r="F52" s="12" t="str">
        <f t="shared" si="19"/>
        <v/>
      </c>
      <c r="G52" s="12" t="str">
        <f>IF(F52="X",60*0.25,"")</f>
        <v/>
      </c>
      <c r="H52" s="12" t="str">
        <f t="shared" si="20"/>
        <v/>
      </c>
      <c r="I52" s="12" t="str">
        <f>IF(H52="X",30*0.25,"")</f>
        <v/>
      </c>
      <c r="J52" s="12" t="str">
        <f t="shared" si="21"/>
        <v/>
      </c>
      <c r="K52" s="12" t="str">
        <f t="shared" si="22"/>
        <v/>
      </c>
    </row>
    <row r="53" spans="1:11" ht="27.6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 t="str">
        <f t="shared" si="18"/>
        <v>X</v>
      </c>
      <c r="E53" s="12">
        <f>IF(D53="X",100*0.2,"")</f>
        <v>20</v>
      </c>
      <c r="F53" s="12" t="str">
        <f t="shared" si="19"/>
        <v/>
      </c>
      <c r="G53" s="12" t="str">
        <f>IF(F53="X",60*0.2,"")</f>
        <v/>
      </c>
      <c r="H53" s="12" t="str">
        <f t="shared" si="20"/>
        <v/>
      </c>
      <c r="I53" s="12" t="str">
        <f>IF(H53="X",30*0.2,"")</f>
        <v/>
      </c>
      <c r="J53" s="12" t="str">
        <f t="shared" si="21"/>
        <v/>
      </c>
      <c r="K53" s="12" t="str">
        <f t="shared" si="22"/>
        <v/>
      </c>
    </row>
    <row r="54" spans="1:11" ht="35.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8"/>
        <v>X</v>
      </c>
      <c r="E54" s="12">
        <f>IF(D54="X",100*0.05,"")</f>
        <v>5</v>
      </c>
      <c r="F54" s="12" t="str">
        <f t="shared" si="19"/>
        <v/>
      </c>
      <c r="G54" s="12" t="str">
        <f>IF(F54="X",60*0.05,"")</f>
        <v/>
      </c>
      <c r="H54" s="12" t="str">
        <f t="shared" si="20"/>
        <v/>
      </c>
      <c r="I54" s="12" t="str">
        <f>IF(H54="X",30*0.05,"")</f>
        <v/>
      </c>
      <c r="J54" s="12" t="str">
        <f t="shared" si="21"/>
        <v/>
      </c>
      <c r="K54" s="12" t="str">
        <f t="shared" si="22"/>
        <v/>
      </c>
    </row>
    <row r="55" spans="1:11" ht="30.6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9.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2"/>
        <v/>
      </c>
    </row>
    <row r="57" spans="1:11" ht="30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2"/>
        <v/>
      </c>
    </row>
    <row r="58" spans="1:11" ht="15.75" customHeight="1" x14ac:dyDescent="0.35">
      <c r="A58" s="40"/>
      <c r="B58" s="18" t="s">
        <v>12</v>
      </c>
      <c r="C58" s="22">
        <f>E58+G58+I58+K58</f>
        <v>100</v>
      </c>
      <c r="D58" s="13"/>
      <c r="E58" s="13">
        <f>SUM(E51:E57)</f>
        <v>100</v>
      </c>
      <c r="F58" s="13"/>
      <c r="G58" s="13">
        <f>SUM(G51:G57)</f>
        <v>0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2"/>
      <c r="B59" s="21" t="s">
        <v>13</v>
      </c>
      <c r="C59" s="14">
        <f>VLOOKUP(C58,ESCALA_IEP!A40:B240,2,FALSE)</f>
        <v>7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14</v>
      </c>
      <c r="B63" s="11" t="str">
        <f>B4</f>
        <v>ALEJANDRO ANTONIO FERNANDEZ VICENCIO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1" si="23">IF($C65=CL,"X","")</f>
        <v>X</v>
      </c>
      <c r="E65" s="12">
        <f>IF(D65="X",100*0.15,"")</f>
        <v>15</v>
      </c>
      <c r="F65" s="12" t="str">
        <f t="shared" ref="F65:F71" si="24">IF($C65=L,"X","")</f>
        <v/>
      </c>
      <c r="G65" s="12" t="str">
        <f>IF(F65="X",60*0.15,"")</f>
        <v/>
      </c>
      <c r="H65" s="12" t="str">
        <f t="shared" ref="H65:H71" si="25">IF($C65=ML,"X","")</f>
        <v/>
      </c>
      <c r="I65" s="12" t="str">
        <f>IF(H65="X",30*0.15,"")</f>
        <v/>
      </c>
      <c r="J65" s="12" t="str">
        <f t="shared" ref="J65:J71" si="26">IF($C65=NL,"X","")</f>
        <v/>
      </c>
      <c r="K65" s="12" t="str">
        <f t="shared" ref="K65:K71" si="27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3"/>
        <v>X</v>
      </c>
      <c r="E70" s="12">
        <f>IF(D70="X",100*0.2,"")</f>
        <v>20</v>
      </c>
      <c r="F70" s="12" t="str">
        <f t="shared" si="24"/>
        <v/>
      </c>
      <c r="G70" s="12" t="str">
        <f>IF(F70="X",60*0.2,"")</f>
        <v/>
      </c>
      <c r="H70" s="12" t="str">
        <f t="shared" si="25"/>
        <v/>
      </c>
      <c r="I70" s="12" t="str">
        <f>IF(H70="X",30*0.2,"")</f>
        <v/>
      </c>
      <c r="J70" s="12" t="str">
        <f t="shared" si="26"/>
        <v/>
      </c>
      <c r="K70" s="12" t="str">
        <f t="shared" si="27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3"/>
        <v>X</v>
      </c>
      <c r="E71" s="12">
        <f>IF(D71="X",100*0.1,"")</f>
        <v>10</v>
      </c>
      <c r="F71" s="12" t="str">
        <f t="shared" si="24"/>
        <v/>
      </c>
      <c r="G71" s="12" t="str">
        <f>IF(F71="X",60*0.1,"")</f>
        <v/>
      </c>
      <c r="H71" s="12" t="str">
        <f t="shared" si="25"/>
        <v/>
      </c>
      <c r="I71" s="12" t="str">
        <f>IF(H71="X",30*0.1,"")</f>
        <v/>
      </c>
      <c r="J71" s="12" t="str">
        <f t="shared" si="26"/>
        <v/>
      </c>
      <c r="K71" s="12" t="str">
        <f t="shared" si="27"/>
        <v/>
      </c>
    </row>
    <row r="72" spans="1:11" ht="24" customHeight="1" x14ac:dyDescent="0.35">
      <c r="A72" s="49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15</v>
      </c>
      <c r="B76" s="11" t="str">
        <f>B5</f>
        <v>SIMON TOMAS RUZ AVILA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7</v>
      </c>
    </row>
    <row r="87" spans="1:11" ht="15.75" customHeight="1" x14ac:dyDescent="0.3"/>
    <row r="88" spans="1:11" ht="15.75" customHeight="1" x14ac:dyDescent="0.3"/>
    <row r="89" spans="1:11" ht="24" customHeight="1" x14ac:dyDescent="0.3">
      <c r="A89" s="39" t="s">
        <v>16</v>
      </c>
      <c r="B89" s="11" t="str">
        <f>B6</f>
        <v>TOMAS HERNAN MELLA MOLINA</v>
      </c>
      <c r="C89" s="43" t="s">
        <v>5</v>
      </c>
      <c r="D89" s="44" t="s">
        <v>6</v>
      </c>
      <c r="E89" s="45"/>
      <c r="F89" s="45"/>
      <c r="G89" s="45"/>
      <c r="H89" s="45"/>
      <c r="I89" s="45"/>
      <c r="J89" s="45"/>
      <c r="K89" s="46"/>
    </row>
    <row r="90" spans="1:11" ht="24" customHeight="1" x14ac:dyDescent="0.3">
      <c r="A90" s="40"/>
      <c r="B90" s="15" t="s">
        <v>7</v>
      </c>
      <c r="C90" s="42"/>
      <c r="D90" s="44" t="s">
        <v>8</v>
      </c>
      <c r="E90" s="46"/>
      <c r="F90" s="44" t="s">
        <v>9</v>
      </c>
      <c r="G90" s="46"/>
      <c r="H90" s="47" t="s">
        <v>10</v>
      </c>
      <c r="I90" s="46"/>
      <c r="J90" s="44" t="s">
        <v>11</v>
      </c>
      <c r="K90" s="46"/>
    </row>
    <row r="91" spans="1:11" ht="24" customHeight="1" x14ac:dyDescent="0.3">
      <c r="A91" s="41"/>
      <c r="B91" s="19" t="str">
        <f>RUBRICA!A4</f>
        <v xml:space="preserve">1. Presenta el proyecto considerando la relevancia, objetivos, metodología y desarrollo, de acuerdo a los estándares de calidad de la disciplina. </v>
      </c>
      <c r="C91" s="17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3">
      <c r="A92" s="41"/>
      <c r="B92" s="19" t="str">
        <f>RUBRICA!A5</f>
        <v xml:space="preserve">2. Presenta las evidencias del Proyecto APT, dando cuenta del cumplimiento de los objetivos y de acuerdo a los estándares de la disciplina. </v>
      </c>
      <c r="C92" s="17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3">
      <c r="A93" s="41"/>
      <c r="B93" s="19" t="str">
        <f>RUBRICA!A6</f>
        <v>3. Responde las preguntas realizadas por la comisión, cumpliendo con los estándares de calidad de la disciplina.</v>
      </c>
      <c r="C93" s="17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3">
      <c r="A94" s="41"/>
      <c r="B94" s="19" t="str">
        <f>RUBRICA!A7</f>
        <v>4. Expone el Proyecto APT, considerando el formato y el tiempo establecido para la presentación.</v>
      </c>
      <c r="C94" s="17" t="s">
        <v>8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3">
      <c r="A95" s="41"/>
      <c r="B95" s="19" t="str">
        <f>RUBRICA!A8</f>
        <v>5. Expresa sus ideas con fluidez, claridad y precisión, utilizando lenguaje técnico propio de la disciplina.</v>
      </c>
      <c r="C95" s="17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3">
      <c r="A96" s="41"/>
      <c r="B96" s="19" t="str">
        <f>RUBRICA!A9</f>
        <v>6. Entrega la documentación y evidencias requerida por la asignatura de acuerdo a la estructura y nombres solicitados, guardando todas las evidencias de avances en Git</v>
      </c>
      <c r="C96" s="17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3">
      <c r="A97" s="41"/>
      <c r="B97" s="19" t="str">
        <f>RUBRICA!A10</f>
        <v xml:space="preserve">7. Expone el tema utilizando un lenguaje técnico disciplinar al presentar la propuesta y responde evidenciando un manejo de la información. </v>
      </c>
      <c r="C97" s="17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35">
      <c r="A98" s="40"/>
      <c r="B98" s="18" t="s">
        <v>12</v>
      </c>
      <c r="C98" s="22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35">
      <c r="A99" s="42"/>
      <c r="B99" s="21" t="s">
        <v>13</v>
      </c>
      <c r="C99" s="14">
        <f>VLOOKUP(C98,ESCALA_IEP!A67:B267,2,FALSE)</f>
        <v>7</v>
      </c>
    </row>
    <row r="100" spans="1:11" ht="15.75" customHeight="1" x14ac:dyDescent="0.3"/>
    <row r="101" spans="1:11" ht="18" x14ac:dyDescent="0.3">
      <c r="A101" s="39" t="s">
        <v>68</v>
      </c>
      <c r="B101" s="11" t="str">
        <f>B7</f>
        <v>TOMAS ESTEBAN TORRES LEON</v>
      </c>
      <c r="C101" s="43" t="s">
        <v>5</v>
      </c>
      <c r="D101" s="44" t="s">
        <v>6</v>
      </c>
      <c r="E101" s="45"/>
      <c r="F101" s="45"/>
      <c r="G101" s="45"/>
      <c r="H101" s="45"/>
      <c r="I101" s="45"/>
      <c r="J101" s="45"/>
      <c r="K101" s="46"/>
    </row>
    <row r="102" spans="1:11" ht="14.4" x14ac:dyDescent="0.3">
      <c r="A102" s="40"/>
      <c r="B102" s="15" t="s">
        <v>7</v>
      </c>
      <c r="C102" s="42"/>
      <c r="D102" s="44" t="s">
        <v>8</v>
      </c>
      <c r="E102" s="46"/>
      <c r="F102" s="44" t="s">
        <v>9</v>
      </c>
      <c r="G102" s="46"/>
      <c r="H102" s="47" t="s">
        <v>10</v>
      </c>
      <c r="I102" s="46"/>
      <c r="J102" s="44" t="s">
        <v>11</v>
      </c>
      <c r="K102" s="46"/>
    </row>
    <row r="103" spans="1:11" ht="31.2" customHeight="1" x14ac:dyDescent="0.3">
      <c r="A103" s="41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8</v>
      </c>
      <c r="D103" s="12" t="str">
        <f t="shared" ref="D103:D107" si="38">IF($C103=CL,"X","")</f>
        <v>X</v>
      </c>
      <c r="E103" s="12">
        <f>IF(D103="X",100*0.15,"")</f>
        <v>15</v>
      </c>
      <c r="F103" s="12" t="str">
        <f t="shared" ref="F103:F107" si="39">IF($C103=L,"X","")</f>
        <v/>
      </c>
      <c r="G103" s="12" t="str">
        <f>IF(F103="X",60*0.15,"")</f>
        <v/>
      </c>
      <c r="H103" s="12" t="str">
        <f t="shared" ref="H103:H107" si="40">IF($C103=ML,"X","")</f>
        <v/>
      </c>
      <c r="I103" s="12" t="str">
        <f>IF(H103="X",30*0.15,"")</f>
        <v/>
      </c>
      <c r="J103" s="12" t="str">
        <f t="shared" ref="J103:J107" si="41">IF($C103=NL,"X","")</f>
        <v/>
      </c>
      <c r="K103" s="12" t="str">
        <f t="shared" ref="K103:K109" si="42">IF($J103="X",0,"")</f>
        <v/>
      </c>
    </row>
    <row r="104" spans="1:11" ht="33.6" customHeight="1" x14ac:dyDescent="0.3">
      <c r="A104" s="41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8</v>
      </c>
      <c r="D104" s="12" t="str">
        <f t="shared" si="38"/>
        <v>X</v>
      </c>
      <c r="E104" s="12">
        <f>IF(D104="X",100*0.25,"")</f>
        <v>25</v>
      </c>
      <c r="F104" s="12" t="str">
        <f t="shared" si="39"/>
        <v/>
      </c>
      <c r="G104" s="12" t="str">
        <f>IF(F104="X",60*0.25,"")</f>
        <v/>
      </c>
      <c r="H104" s="12" t="str">
        <f t="shared" si="40"/>
        <v/>
      </c>
      <c r="I104" s="12" t="str">
        <f>IF(H104="X",30*0.25,"")</f>
        <v/>
      </c>
      <c r="J104" s="12" t="str">
        <f t="shared" si="41"/>
        <v/>
      </c>
      <c r="K104" s="12" t="str">
        <f t="shared" si="42"/>
        <v/>
      </c>
    </row>
    <row r="105" spans="1:11" ht="27.6" customHeight="1" x14ac:dyDescent="0.3">
      <c r="A105" s="41"/>
      <c r="B105" s="19" t="str">
        <f>RUBRICA!A6</f>
        <v>3. Responde las preguntas realizadas por la comisión, cumpliendo con los estándares de calidad de la disciplina.</v>
      </c>
      <c r="C105" s="17" t="s">
        <v>8</v>
      </c>
      <c r="D105" s="12" t="str">
        <f t="shared" si="38"/>
        <v>X</v>
      </c>
      <c r="E105" s="12">
        <f>IF(D105="X",100*0.2,"")</f>
        <v>20</v>
      </c>
      <c r="F105" s="12" t="str">
        <f t="shared" si="39"/>
        <v/>
      </c>
      <c r="G105" s="12" t="str">
        <f>IF(F105="X",60*0.2,"")</f>
        <v/>
      </c>
      <c r="H105" s="12" t="str">
        <f t="shared" si="40"/>
        <v/>
      </c>
      <c r="I105" s="12" t="str">
        <f>IF(H105="X",30*0.2,"")</f>
        <v/>
      </c>
      <c r="J105" s="12" t="str">
        <f t="shared" si="41"/>
        <v/>
      </c>
      <c r="K105" s="12" t="str">
        <f t="shared" si="42"/>
        <v/>
      </c>
    </row>
    <row r="106" spans="1:11" ht="26.4" customHeight="1" x14ac:dyDescent="0.3">
      <c r="A106" s="41"/>
      <c r="B106" s="19" t="str">
        <f>RUBRICA!A7</f>
        <v>4. Expone el Proyecto APT, considerando el formato y el tiempo establecido para la presentación.</v>
      </c>
      <c r="C106" s="17" t="s">
        <v>8</v>
      </c>
      <c r="D106" s="12" t="str">
        <f t="shared" si="38"/>
        <v>X</v>
      </c>
      <c r="E106" s="12">
        <f>IF(D106="X",100*0.05,"")</f>
        <v>5</v>
      </c>
      <c r="F106" s="12" t="str">
        <f t="shared" si="39"/>
        <v/>
      </c>
      <c r="G106" s="12" t="str">
        <f>IF(F106="X",60*0.05,"")</f>
        <v/>
      </c>
      <c r="H106" s="12" t="str">
        <f t="shared" si="40"/>
        <v/>
      </c>
      <c r="I106" s="12" t="str">
        <f>IF(H106="X",30*0.05,"")</f>
        <v/>
      </c>
      <c r="J106" s="12" t="str">
        <f t="shared" si="41"/>
        <v/>
      </c>
      <c r="K106" s="12" t="str">
        <f t="shared" si="42"/>
        <v/>
      </c>
    </row>
    <row r="107" spans="1:11" ht="38.4" customHeight="1" x14ac:dyDescent="0.3">
      <c r="A107" s="41"/>
      <c r="B107" s="19" t="str">
        <f>RUBRICA!A8</f>
        <v>5. Expresa sus ideas con fluidez, claridad y precisión, utilizando lenguaje técnico propio de la disciplina.</v>
      </c>
      <c r="C107" s="17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7.6" customHeight="1" x14ac:dyDescent="0.3">
      <c r="A108" s="41"/>
      <c r="B108" s="19" t="str">
        <f>RUBRICA!A9</f>
        <v>6. Entrega la documentación y evidencias requerida por la asignatura de acuerdo a la estructura y nombres solicitados, guardando todas las evidencias de avances en Git</v>
      </c>
      <c r="C108" s="17" t="s">
        <v>8</v>
      </c>
      <c r="D108" s="12" t="s">
        <v>63</v>
      </c>
      <c r="E108" s="12">
        <f>IF(D108="X",100*0.2,"")</f>
        <v>20</v>
      </c>
      <c r="F108" s="12"/>
      <c r="G108" s="12" t="str">
        <f>IF(F108="X",60*0.2,"")</f>
        <v/>
      </c>
      <c r="H108" s="12" t="str">
        <f>IF($C108=ML,"X","")</f>
        <v/>
      </c>
      <c r="I108" s="12" t="str">
        <f>IF(H108="X",30*0.2,"")</f>
        <v/>
      </c>
      <c r="J108" s="12" t="str">
        <f>IF($C108=NL,"X","")</f>
        <v/>
      </c>
      <c r="K108" s="12" t="str">
        <f t="shared" si="42"/>
        <v/>
      </c>
    </row>
    <row r="109" spans="1:11" ht="33" customHeight="1" x14ac:dyDescent="0.3">
      <c r="A109" s="41"/>
      <c r="B109" s="19" t="str">
        <f>RUBRICA!A10</f>
        <v xml:space="preserve">7. Expone el tema utilizando un lenguaje técnico disciplinar al presentar la propuesta y responde evidenciando un manejo de la información. </v>
      </c>
      <c r="C109" s="17" t="s">
        <v>8</v>
      </c>
      <c r="D109" s="12" t="s">
        <v>63</v>
      </c>
      <c r="E109" s="12">
        <f>IF(D109="X",100*0.1,"")</f>
        <v>10</v>
      </c>
      <c r="F109" s="12" t="str">
        <f>IF($C109=L,"X","")</f>
        <v/>
      </c>
      <c r="G109" s="12" t="str">
        <f>IF(F109="X",60*0.1,"")</f>
        <v/>
      </c>
      <c r="H109" s="12" t="str">
        <f>IF($C109=ML,"X","")</f>
        <v/>
      </c>
      <c r="I109" s="12" t="str">
        <f>IF(H109="X",30*0.1,"")</f>
        <v/>
      </c>
      <c r="J109" s="12" t="str">
        <f>IF($C109=NL,"X","")</f>
        <v/>
      </c>
      <c r="K109" s="12" t="str">
        <f t="shared" si="42"/>
        <v/>
      </c>
    </row>
    <row r="110" spans="1:11" ht="24.6" customHeight="1" x14ac:dyDescent="0.35">
      <c r="A110" s="40"/>
      <c r="B110" s="18" t="s">
        <v>12</v>
      </c>
      <c r="C110" s="22">
        <f>E110+G110+I110+K110</f>
        <v>100</v>
      </c>
      <c r="D110" s="13"/>
      <c r="E110" s="13">
        <f>SUM(E103:E109)</f>
        <v>100</v>
      </c>
      <c r="F110" s="13"/>
      <c r="G110" s="13">
        <f>SUM(G103:G109)</f>
        <v>0</v>
      </c>
      <c r="H110" s="13"/>
      <c r="I110" s="13">
        <f>SUM(I103:I109)</f>
        <v>0</v>
      </c>
      <c r="J110" s="13"/>
      <c r="K110" s="13">
        <f>SUM(K103:K109)</f>
        <v>0</v>
      </c>
    </row>
    <row r="111" spans="1:11" ht="39.6" customHeight="1" x14ac:dyDescent="0.35">
      <c r="A111" s="42"/>
      <c r="B111" s="21" t="s">
        <v>13</v>
      </c>
      <c r="C111" s="14">
        <f>VLOOKUP(C110,ESCALA_IEP!A79:B279,2,FALSE)</f>
        <v>7</v>
      </c>
    </row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</sheetData>
  <sheetProtection algorithmName="SHA-512" hashValue="5DoYidcaTfI+duzBuC9k+coQHvUxkt0ShQeW7W0EAEHnII/WFvKACpaMTjgIqqEld/Lb9j66oQooc+p1kGtMrw==" saltValue="lBi2VS39YEpVd1ABqfWrnA==" spinCount="100000" sheet="1" objects="1" scenarios="1"/>
  <mergeCells count="56">
    <mergeCell ref="A101:A111"/>
    <mergeCell ref="C101:C102"/>
    <mergeCell ref="D101:K101"/>
    <mergeCell ref="D102:E102"/>
    <mergeCell ref="F102:G102"/>
    <mergeCell ref="H102:I102"/>
    <mergeCell ref="J102:K102"/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  <mergeCell ref="A89:A99"/>
    <mergeCell ref="C89:C90"/>
    <mergeCell ref="D89:K89"/>
    <mergeCell ref="D90:E90"/>
    <mergeCell ref="F90:G90"/>
    <mergeCell ref="H90:I90"/>
    <mergeCell ref="J90:K90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2025-12-11T03:51:55Z</dcterms:modified>
  <cp:category/>
  <cp:contentStatus/>
</cp:coreProperties>
</file>